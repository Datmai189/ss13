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57d53eacc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-muc-linh-kien" sheetId="1" r:id="R1a0499738cf34faa"/>
    <x:sheet xmlns:r="http://schemas.openxmlformats.org/officeDocument/2006/relationships" name="trang-thai-tram" sheetId="2" r:id="Rcd522059b3cd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&quot; GB&quot;"/>
    <x:numFmt numFmtId="202" formatCode="dd/mm/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6B4F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0f7976aa94df8" /><Relationship Type="http://schemas.openxmlformats.org/officeDocument/2006/relationships/theme" Target="/xl/theme/theme1.xml" Id="Rd33a096edcfa48b2" /><Relationship Type="http://schemas.openxmlformats.org/officeDocument/2006/relationships/sharedStrings" Target="/xl/sharedStrings.xml" Id="R1880772c24a846b9" /><Relationship Type="http://schemas.openxmlformats.org/officeDocument/2006/relationships/worksheet" Target="/xl/worksheets/sheet1.xml" Id="R1a0499738cf34faa" /><Relationship Type="http://schemas.openxmlformats.org/officeDocument/2006/relationships/worksheet" Target="/xl/worksheets/sheet2.xml" Id="Rcd522059b3cd427d" /></Relationships>
</file>

<file path=xl/tables/table1.xml><?xml version="1.0" encoding="utf-8"?>
<x:table xmlns:x="http://schemas.openxmlformats.org/spreadsheetml/2006/main" id="1" name="DanhMucLinhKien" displayName="DanhMucLinhKien" ref="A1:D6" headerRowCount="1" totalsRowCount="0" totalsRowShown="0">
  <x:autoFilter ref="A1:D6"/>
  <x:tableColumns count="4">
    <x:tableColumn id="1" name="ma_linh_kien"/>
    <x:tableColumn id="2" name="ten_thiet_bi"/>
    <x:tableColumn id="3" name="don_gia"/>
    <x:tableColumn id="4" name="loai_sto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gThaiTram" displayName="TrangThaiTram" ref="A1:F7" headerRowCount="1" totalsRowCount="0" totalsRowShown="0">
  <x:autoFilter ref="A1:F7"/>
  <x:tableColumns count="6">
    <x:tableColumn id="1" name="ma_tram"/>
    <x:tableColumn id="2" name="ma_linh_kien"/>
    <x:tableColumn id="3" name="dung_luong_ram"/>
    <x:tableColumn id="4" name="ngay_lap_dat"/>
    <x:tableColumn id="5" name="ma_linh_kien_sach"/>
    <x:tableColumn id="6" name="ten_thiet_b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b291fa834247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a187bd153c4ea9" /></Relationships>
</file>

<file path=xl/worksheets/sheet1.xml><?xml version="1.0" encoding="utf-8"?>
<x:worksheet xmlns:x="http://schemas.openxmlformats.org/spreadsheetml/2006/main">
  <x:sheetPr>
    <x:tabColor rgb="FF2F6B4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</x:cols>
  <x:sheetData>
    <x:row r="1" ht="22" customHeight="1">
      <x:c r="A1" s="11" t="str">
        <x:v>ma_linh_kien</x:v>
      </x:c>
      <x:c r="B1" s="12" t="str">
        <x:v>ten_thiet_bi</x:v>
      </x:c>
      <x:c r="C1" s="12" t="str">
        <x:v>don_gia</x:v>
      </x:c>
      <x:c r="D1" s="13" t="str">
        <x:v>loai_storage</x:v>
      </x:c>
    </x:row>
    <x:row r="2" ht="22" customHeight="1">
      <x:c r="A2" s="2" t="str">
        <x:v>LK001</x:v>
      </x:c>
      <x:c r="B2" s="2" t="str">
        <x:v>Cảm biến nhiệt độ</x:v>
      </x:c>
      <x:c r="C2" s="15" t="n">
        <x:v>850000</x:v>
      </x:c>
      <x:c r="D2" s="2" t="str">
        <x:v>Flash</x:v>
      </x:c>
    </x:row>
    <x:row r="3" ht="22" customHeight="1">
      <x:c r="A3" s="2" t="str">
        <x:v>LK002</x:v>
      </x:c>
      <x:c r="B3" s="2" t="str">
        <x:v>Cảm biến độ ẩm đất</x:v>
      </x:c>
      <x:c r="C3" s="15" t="n">
        <x:v>1250000</x:v>
      </x:c>
      <x:c r="D3" s="2" t="str">
        <x:v>Flash</x:v>
      </x:c>
    </x:row>
    <x:row r="4" ht="22" customHeight="1">
      <x:c r="A4" s="2" t="str">
        <x:v>LK003</x:v>
      </x:c>
      <x:c r="B4" s="2" t="str">
        <x:v>Modem LoRa</x:v>
      </x:c>
      <x:c r="C4" s="15" t="n">
        <x:v>2400000</x:v>
      </x:c>
      <x:c r="D4" s="2" t="str">
        <x:v>eMMC</x:v>
      </x:c>
    </x:row>
    <x:row r="5" ht="22" customHeight="1">
      <x:c r="A5" s="2" t="str">
        <x:v>LK004</x:v>
      </x:c>
      <x:c r="B5" s="2" t="str">
        <x:v>Gateway điều khiển</x:v>
      </x:c>
      <x:c r="C5" s="15" t="n">
        <x:v>6800000</x:v>
      </x:c>
      <x:c r="D5" s="2" t="str">
        <x:v>SSD</x:v>
      </x:c>
    </x:row>
    <x:row r="6" ht="22" customHeight="1">
      <x:c r="A6" s="2" t="str">
        <x:v>LK005</x:v>
      </x:c>
      <x:c r="B6" s="2" t="str">
        <x:v>Camera giám sát</x:v>
      </x:c>
      <x:c r="C6" s="15" t="n">
        <x:v>4500000</x:v>
      </x:c>
      <x:c r="D6" s="2" t="str">
        <x:v>MicroSD</x:v>
      </x:c>
    </x:row>
  </x:sheetData>
  <x:pageMargins left="0.7" right="0.7" top="0.75" bottom="0.75" header="0.3" footer="0.3"/>
  <x:tableParts count="1">
    <x:tablePart xmlns:r="http://schemas.openxmlformats.org/officeDocument/2006/relationships" r:id="Rf3b291fa8342472d"/>
  </x:tableParts>
</x:worksheet>
</file>

<file path=xl/worksheets/sheet2.xml><?xml version="1.0" encoding="utf-8"?>
<x:worksheet xmlns:x="http://schemas.openxmlformats.org/spreadsheetml/2006/main">
  <x:sheetPr>
    <x:tabColor rgb="FF5B8C6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8" hidden="0" customWidth="1"/>
    <x:col min="5" max="5" width="22" hidden="0" customWidth="1"/>
    <x:col min="6" max="6" width="28" hidden="0" customWidth="1"/>
  </x:cols>
  <x:sheetData>
    <x:row r="1" ht="22" customHeight="1">
      <x:c r="A1" s="11" t="str">
        <x:v>ma_tram</x:v>
      </x:c>
      <x:c r="B1" s="12" t="str">
        <x:v>ma_linh_kien</x:v>
      </x:c>
      <x:c r="C1" s="12" t="str">
        <x:v>dung_luong_ram</x:v>
      </x:c>
      <x:c r="D1" s="12" t="str">
        <x:v>ngay_lap_dat</x:v>
      </x:c>
      <x:c r="E1" s="12" t="str">
        <x:v>ma_linh_kien_sach</x:v>
      </x:c>
      <x:c r="F1" s="13" t="str">
        <x:v>ten_thiet_bi</x:v>
      </x:c>
    </x:row>
    <x:row r="2" ht="22" customHeight="1">
      <x:c r="A2" s="2" t="str">
        <x:v>sensor-01</x:v>
      </x:c>
      <x:c r="B2" s="2" t="str">
        <x:v> LK001 </x:v>
      </x:c>
      <x:c r="C2" s="17" t="n">
        <x:v>4</x:v>
      </x:c>
      <x:c r="D2" s="19" t="d">
        <x:v>2026-01-15T00:00:00.000Z</x:v>
      </x:c>
      <x:c r="E2" s="2" t="str">
        <x:f>TRIM(B2)</x:f>
        <x:v>LK001</x:v>
      </x:c>
      <x:c r="F2" s="2" t="str">
        <x:f>VLOOKUP(E2,'danh-muc-linh-kien'!$A$2:$D$6,2,FALSE)</x:f>
        <x:v>Cảm biến nhiệt độ</x:v>
      </x:c>
    </x:row>
    <x:row r="3" ht="22" customHeight="1">
      <x:c r="A3" s="2" t="str">
        <x:v>sensor-02</x:v>
      </x:c>
      <x:c r="B3" s="2" t="str">
        <x:v>LK002</x:v>
      </x:c>
      <x:c r="C3" s="17" t="n">
        <x:v>8</x:v>
      </x:c>
      <x:c r="D3" s="19" t="d">
        <x:v>2026-02-10T00:00:00.000Z</x:v>
      </x:c>
      <x:c r="E3" s="2" t="str">
        <x:f>TRIM(B3)</x:f>
        <x:v>LK002</x:v>
      </x:c>
      <x:c r="F3" s="2" t="str">
        <x:f>VLOOKUP(E3,'danh-muc-linh-kien'!$A$2:$D$6,2,FALSE)</x:f>
        <x:v>Cảm biến độ ẩm đất</x:v>
      </x:c>
    </x:row>
    <x:row r="4" ht="22" customHeight="1">
      <x:c r="A4" s="2" t="str">
        <x:v>sensor-03</x:v>
      </x:c>
      <x:c r="B4" s="2" t="str">
        <x:v>  LK003</x:v>
      </x:c>
      <x:c r="C4" s="17" t="n">
        <x:v>8</x:v>
      </x:c>
      <x:c r="D4" s="19" t="d">
        <x:v>2026-03-05T00:00:00.000Z</x:v>
      </x:c>
      <x:c r="E4" s="2" t="str">
        <x:f>TRIM(B4)</x:f>
        <x:v>LK003</x:v>
      </x:c>
      <x:c r="F4" s="2" t="str">
        <x:f>VLOOKUP(E4,'danh-muc-linh-kien'!$A$2:$D$6,2,FALSE)</x:f>
        <x:v>Modem LoRa</x:v>
      </x:c>
    </x:row>
    <x:row r="5" ht="22" customHeight="1">
      <x:c r="A5" s="2" t="str">
        <x:v>sensor-04</x:v>
      </x:c>
      <x:c r="B5" s="2" t="str">
        <x:v>LK004  </x:v>
      </x:c>
      <x:c r="C5" s="17" t="n">
        <x:v>16</x:v>
      </x:c>
      <x:c r="D5" s="19" t="d">
        <x:v>2026-04-22T00:00:00.000Z</x:v>
      </x:c>
      <x:c r="E5" s="2" t="str">
        <x:f>TRIM(B5)</x:f>
        <x:v>LK004</x:v>
      </x:c>
      <x:c r="F5" s="2" t="str">
        <x:f>VLOOKUP(E5,'danh-muc-linh-kien'!$A$2:$D$6,2,FALSE)</x:f>
        <x:v>Gateway điều khiển</x:v>
      </x:c>
    </x:row>
    <x:row r="6" ht="22" customHeight="1">
      <x:c r="A6" s="2" t="str">
        <x:v>gateway-01</x:v>
      </x:c>
      <x:c r="B6" s="2" t="str">
        <x:v> LK005 </x:v>
      </x:c>
      <x:c r="C6" s="17" t="n">
        <x:v>8</x:v>
      </x:c>
      <x:c r="D6" s="19" t="d">
        <x:v>2026-05-18T00:00:00.000Z</x:v>
      </x:c>
      <x:c r="E6" s="2" t="str">
        <x:f>TRIM(B6)</x:f>
        <x:v>LK005</x:v>
      </x:c>
      <x:c r="F6" s="2" t="str">
        <x:f>VLOOKUP(E6,'danh-muc-linh-kien'!$A$2:$D$6,2,FALSE)</x:f>
        <x:v>Camera giám sát</x:v>
      </x:c>
    </x:row>
    <x:row r="7" ht="22" customHeight="1">
      <x:c r="A7" s="2" t="str">
        <x:v>gateway-02</x:v>
      </x:c>
      <x:c r="B7" s="2" t="str">
        <x:v>LK003</x:v>
      </x:c>
      <x:c r="C7" s="17" t="n">
        <x:v>4</x:v>
      </x:c>
      <x:c r="D7" s="19" t="d">
        <x:v>2026-06-30T00:00:00.000Z</x:v>
      </x:c>
      <x:c r="E7" s="2" t="str">
        <x:f>TRIM(B7)</x:f>
        <x:v>LK003</x:v>
      </x:c>
      <x:c r="F7" s="2" t="str">
        <x:f>VLOOKUP(E7,'danh-muc-linh-kien'!$A$2:$D$6,2,FALSE)</x:f>
        <x:v>Modem LoRa</x:v>
      </x:c>
    </x:row>
  </x:sheetData>
  <x:pageMargins left="0.7" right="0.7" top="0.75" bottom="0.75" header="0.3" footer="0.3"/>
  <x:tableParts count="1">
    <x:tablePart xmlns:r="http://schemas.openxmlformats.org/officeDocument/2006/relationships" r:id="R9fa187bd153c4ea9"/>
  </x:tableParts>
</x:worksheet>
</file>